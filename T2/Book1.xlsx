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JENG\Dixit Patel B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2" i="1"/>
  <c r="K11" i="1"/>
  <c r="M11" i="1" s="1"/>
  <c r="K13" i="1"/>
  <c r="M13" i="1" s="1"/>
  <c r="K15" i="1"/>
  <c r="M15" i="1" s="1"/>
  <c r="J3" i="1"/>
  <c r="K3" i="1" s="1"/>
  <c r="M3" i="1" s="1"/>
  <c r="J4" i="1"/>
  <c r="K4" i="1" s="1"/>
  <c r="M4" i="1" s="1"/>
  <c r="J5" i="1"/>
  <c r="K5" i="1" s="1"/>
  <c r="M5" i="1" s="1"/>
  <c r="J6" i="1"/>
  <c r="K6" i="1" s="1"/>
  <c r="M6" i="1" s="1"/>
  <c r="J7" i="1"/>
  <c r="K7" i="1" s="1"/>
  <c r="M7" i="1" s="1"/>
  <c r="J8" i="1"/>
  <c r="K8" i="1" s="1"/>
  <c r="M8" i="1" s="1"/>
  <c r="J9" i="1"/>
  <c r="K9" i="1" s="1"/>
  <c r="M9" i="1" s="1"/>
  <c r="J10" i="1"/>
  <c r="K10" i="1" s="1"/>
  <c r="M10" i="1" s="1"/>
  <c r="J11" i="1"/>
  <c r="J12" i="1"/>
  <c r="K12" i="1" s="1"/>
  <c r="M12" i="1" s="1"/>
  <c r="J13" i="1"/>
  <c r="J14" i="1"/>
  <c r="K14" i="1" s="1"/>
  <c r="M14" i="1" s="1"/>
  <c r="J15" i="1"/>
  <c r="J16" i="1"/>
  <c r="K16" i="1" s="1"/>
  <c r="M16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E3" i="1"/>
  <c r="H3" i="1" s="1"/>
  <c r="E4" i="1"/>
  <c r="H4" i="1" s="1"/>
  <c r="E5" i="1"/>
  <c r="H5" i="1" s="1"/>
  <c r="E6" i="1"/>
  <c r="H6" i="1" s="1"/>
  <c r="E7" i="1"/>
  <c r="H7" i="1" s="1"/>
  <c r="E8" i="1"/>
  <c r="E9" i="1"/>
  <c r="E10" i="1"/>
  <c r="E11" i="1"/>
  <c r="E12" i="1"/>
  <c r="H12" i="1" s="1"/>
  <c r="E13" i="1"/>
  <c r="H13" i="1" s="1"/>
  <c r="E14" i="1"/>
  <c r="H14" i="1" s="1"/>
  <c r="E15" i="1"/>
  <c r="H15" i="1" s="1"/>
  <c r="E16" i="1"/>
  <c r="C2" i="1"/>
  <c r="D2" i="1"/>
  <c r="F2" i="1" s="1"/>
  <c r="G10" i="1" l="1"/>
  <c r="G15" i="1"/>
  <c r="G7" i="1"/>
  <c r="G11" i="1"/>
  <c r="G6" i="1"/>
  <c r="J2" i="1"/>
  <c r="K2" i="1" s="1"/>
  <c r="G14" i="1"/>
  <c r="G9" i="1"/>
  <c r="H11" i="1"/>
  <c r="G8" i="1"/>
  <c r="H10" i="1"/>
  <c r="G13" i="1"/>
  <c r="G5" i="1"/>
  <c r="G16" i="1"/>
  <c r="G12" i="1"/>
  <c r="G4" i="1"/>
  <c r="G3" i="1"/>
  <c r="H9" i="1"/>
  <c r="H16" i="1"/>
  <c r="H8" i="1"/>
  <c r="E2" i="1"/>
  <c r="L2" i="1" l="1"/>
  <c r="M2" i="1"/>
  <c r="N2" i="1" s="1"/>
  <c r="G2" i="1"/>
  <c r="G18" i="1" s="1"/>
  <c r="H2" i="1"/>
  <c r="H18" i="1" s="1"/>
</calcChain>
</file>

<file path=xl/sharedStrings.xml><?xml version="1.0" encoding="utf-8"?>
<sst xmlns="http://schemas.openxmlformats.org/spreadsheetml/2006/main" count="17" uniqueCount="17">
  <si>
    <t>x</t>
  </si>
  <si>
    <t>y</t>
  </si>
  <si>
    <t>mean(x)</t>
  </si>
  <si>
    <t>mean(y)</t>
  </si>
  <si>
    <t>x-x'</t>
  </si>
  <si>
    <t>y-y'</t>
  </si>
  <si>
    <t>x-x'^2</t>
  </si>
  <si>
    <t>m</t>
  </si>
  <si>
    <t>(x-x")*(y-y')</t>
  </si>
  <si>
    <t xml:space="preserve">Total </t>
  </si>
  <si>
    <t>c=y'-mx'</t>
  </si>
  <si>
    <t>Y predict</t>
  </si>
  <si>
    <t>Y'predict</t>
  </si>
  <si>
    <t>abs(y-ypr)</t>
  </si>
  <si>
    <t>mean(abs)</t>
  </si>
  <si>
    <t>y-yp)^2</t>
  </si>
  <si>
    <t>y-yp)^2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</si>
</sst>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610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1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457200</xdr:colOff>
      <xdr:row>9</xdr:row>
      <xdr:rowOff>157162</xdr:rowOff>
    </xdr:from>
    <xdr:ext cx="65" cy="172227"/>
    <xdr:sp macro="" textlink="">
      <xdr:nvSpPr>
        <xdr:cNvPr id="2" name="TextBox 1"/>
        <xdr:cNvSpPr txBox="1"/>
      </xdr:nvSpPr>
      <xdr:spPr>
        <a:xfrm>
          <a:off x="5943600" y="18716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workbookViewId="0">
      <selection activeCell="H21" sqref="H21"/>
    </sheetView>
  </sheetViews>
  <sheetFormatPr defaultColWidth="10.7109375" defaultRowHeight="15" x14ac:dyDescent="0.25"/>
  <cols>
    <col min="1" max="13" width="10.7109375" style="1"/>
    <col min="14" max="14" width="10.7109375" style="2"/>
    <col min="15" max="15" width="10.7109375" style="1"/>
    <col min="16" max="16" width="10.7109375" style="2"/>
    <col min="17" max="16384" width="10.7109375" style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  <c r="N1" s="2" t="s">
        <v>14</v>
      </c>
      <c r="O1" s="1" t="s">
        <v>15</v>
      </c>
      <c r="P1" s="2" t="s">
        <v>16</v>
      </c>
    </row>
    <row r="2" spans="1:16" s="1" customFormat="1" x14ac:dyDescent="0.25">
      <c r="A2" s="1">
        <v>15</v>
      </c>
      <c r="B2" s="1">
        <v>49</v>
      </c>
      <c r="C2" s="1">
        <f>AVERAGE(A2:A16)</f>
        <v>19.933333333333334</v>
      </c>
      <c r="D2" s="1">
        <f>AVERAGE(B2:B17)</f>
        <v>56.8</v>
      </c>
      <c r="E2" s="1">
        <f>A2-C2</f>
        <v>-4.9333333333333336</v>
      </c>
      <c r="F2" s="1">
        <f>B2-D2</f>
        <v>-7.7999999999999972</v>
      </c>
      <c r="G2" s="1">
        <f>E2*F2</f>
        <v>38.47999999999999</v>
      </c>
      <c r="H2" s="1">
        <f>E2^2</f>
        <v>24.337777777777781</v>
      </c>
      <c r="I2" s="1">
        <v>1.893948</v>
      </c>
      <c r="J2" s="1">
        <f>D2-(I2*C2)</f>
        <v>19.047303199999995</v>
      </c>
      <c r="K2" s="1">
        <f>(I2*A2)+J2</f>
        <v>47.456523199999992</v>
      </c>
      <c r="L2" s="1">
        <f>AVERAGE(K2:K16)</f>
        <v>56.800005892282655</v>
      </c>
      <c r="M2" s="1">
        <f>ABS(B2-K2)</f>
        <v>1.5434768000000076</v>
      </c>
      <c r="N2" s="2">
        <f>AVERAGE(M2:M16)</f>
        <v>3.7412845866666657</v>
      </c>
      <c r="O2" s="1">
        <f>+M2^2</f>
        <v>2.3823206321382635</v>
      </c>
      <c r="P2" s="2">
        <f>AVERAGE(O2:O16)</f>
        <v>22.292069454378939</v>
      </c>
    </row>
    <row r="3" spans="1:16" s="1" customFormat="1" x14ac:dyDescent="0.25">
      <c r="A3" s="1">
        <v>23</v>
      </c>
      <c r="B3" s="1">
        <v>63</v>
      </c>
      <c r="C3" s="1">
        <v>19.933330000000002</v>
      </c>
      <c r="D3" s="1">
        <v>56.8</v>
      </c>
      <c r="E3" s="1">
        <f>A3-C3</f>
        <v>3.0666699999999985</v>
      </c>
      <c r="F3" s="1">
        <f>B3-D3</f>
        <v>6.2000000000000028</v>
      </c>
      <c r="G3" s="1">
        <f t="shared" ref="G3:G16" si="0">E3*F3</f>
        <v>19.013354</v>
      </c>
      <c r="H3" s="1">
        <f t="shared" ref="H3:H16" si="1">E3^2</f>
        <v>9.4044648888999909</v>
      </c>
      <c r="I3" s="1">
        <v>1.893948</v>
      </c>
      <c r="J3" s="1">
        <f>D3-(I3*C3)</f>
        <v>19.047309513159995</v>
      </c>
      <c r="K3" s="1">
        <f>(I3*A3)+J3</f>
        <v>62.608113513159992</v>
      </c>
      <c r="L3" s="1">
        <v>56.80001</v>
      </c>
      <c r="M3" s="1">
        <f>ABS(B3-K3)</f>
        <v>0.39188648684000782</v>
      </c>
      <c r="N3" s="2">
        <v>3.741285</v>
      </c>
      <c r="O3" s="1">
        <f t="shared" ref="O3:O16" si="2">+M3^2</f>
        <v>0.15357501856780362</v>
      </c>
      <c r="P3" s="2">
        <v>22.29206945</v>
      </c>
    </row>
    <row r="4" spans="1:16" s="1" customFormat="1" x14ac:dyDescent="0.25">
      <c r="A4" s="1">
        <v>18</v>
      </c>
      <c r="B4" s="1">
        <v>58</v>
      </c>
      <c r="C4" s="1">
        <v>19.933330000000002</v>
      </c>
      <c r="D4" s="1">
        <v>56.8</v>
      </c>
      <c r="E4" s="1">
        <f>A4-C4</f>
        <v>-1.9333300000000015</v>
      </c>
      <c r="F4" s="1">
        <f>B4-D4</f>
        <v>1.2000000000000028</v>
      </c>
      <c r="G4" s="1">
        <f t="shared" si="0"/>
        <v>-2.3199960000000073</v>
      </c>
      <c r="H4" s="1">
        <f t="shared" si="1"/>
        <v>3.7377648889000059</v>
      </c>
      <c r="I4" s="1">
        <v>1.893948</v>
      </c>
      <c r="J4" s="1">
        <f>D4-(I4*C4)</f>
        <v>19.047309513159995</v>
      </c>
      <c r="K4" s="1">
        <f>(I4*A4)+J4</f>
        <v>53.138373513159998</v>
      </c>
      <c r="L4" s="1">
        <v>56.80001</v>
      </c>
      <c r="M4" s="1">
        <f>ABS(B4-K4)</f>
        <v>4.8616264868400023</v>
      </c>
      <c r="N4" s="2">
        <v>3.741285</v>
      </c>
      <c r="O4" s="1">
        <f t="shared" si="2"/>
        <v>23.635412097544265</v>
      </c>
      <c r="P4" s="2">
        <v>22.29206945</v>
      </c>
    </row>
    <row r="5" spans="1:16" s="1" customFormat="1" x14ac:dyDescent="0.25">
      <c r="A5" s="1">
        <v>23</v>
      </c>
      <c r="B5" s="1">
        <v>60</v>
      </c>
      <c r="C5" s="1">
        <v>19.933330000000002</v>
      </c>
      <c r="D5" s="1">
        <v>56.8</v>
      </c>
      <c r="E5" s="1">
        <f>A5-C5</f>
        <v>3.0666699999999985</v>
      </c>
      <c r="F5" s="1">
        <f>B5-D5</f>
        <v>3.2000000000000028</v>
      </c>
      <c r="G5" s="1">
        <f t="shared" si="0"/>
        <v>9.8133440000000043</v>
      </c>
      <c r="H5" s="1">
        <f t="shared" si="1"/>
        <v>9.4044648888999909</v>
      </c>
      <c r="I5" s="1">
        <v>1.893948</v>
      </c>
      <c r="J5" s="1">
        <f>D5-(I5*C5)</f>
        <v>19.047309513159995</v>
      </c>
      <c r="K5" s="1">
        <f>(I5*A5)+J5</f>
        <v>62.608113513159992</v>
      </c>
      <c r="L5" s="1">
        <v>56.80001</v>
      </c>
      <c r="M5" s="1">
        <f>ABS(B5-K5)</f>
        <v>2.6081135131599922</v>
      </c>
      <c r="N5" s="2">
        <v>3.741285</v>
      </c>
      <c r="O5" s="1">
        <f t="shared" si="2"/>
        <v>6.8022560975277564</v>
      </c>
      <c r="P5" s="2">
        <v>22.29206945</v>
      </c>
    </row>
    <row r="6" spans="1:16" s="1" customFormat="1" x14ac:dyDescent="0.25">
      <c r="A6" s="1">
        <v>24</v>
      </c>
      <c r="B6" s="1">
        <v>58</v>
      </c>
      <c r="C6" s="1">
        <v>19.933330000000002</v>
      </c>
      <c r="D6" s="1">
        <v>56.8</v>
      </c>
      <c r="E6" s="1">
        <f>A6-C6</f>
        <v>4.0666699999999985</v>
      </c>
      <c r="F6" s="1">
        <f>B6-D6</f>
        <v>1.2000000000000028</v>
      </c>
      <c r="G6" s="1">
        <f t="shared" si="0"/>
        <v>4.8800040000000093</v>
      </c>
      <c r="H6" s="1">
        <f t="shared" si="1"/>
        <v>16.537804888899988</v>
      </c>
      <c r="I6" s="1">
        <v>1.893948</v>
      </c>
      <c r="J6" s="1">
        <f>D6-(I6*C6)</f>
        <v>19.047309513159995</v>
      </c>
      <c r="K6" s="1">
        <f>(I6*A6)+J6</f>
        <v>64.502061513159987</v>
      </c>
      <c r="L6" s="1">
        <v>56.80001</v>
      </c>
      <c r="M6" s="1">
        <f>ABS(B6-K6)</f>
        <v>6.5020615131599868</v>
      </c>
      <c r="N6" s="2">
        <v>3.741285</v>
      </c>
      <c r="O6" s="1">
        <f t="shared" si="2"/>
        <v>42.276803920916336</v>
      </c>
      <c r="P6" s="2">
        <v>22.29206945</v>
      </c>
    </row>
    <row r="7" spans="1:16" s="1" customFormat="1" x14ac:dyDescent="0.25">
      <c r="A7" s="1">
        <v>22</v>
      </c>
      <c r="B7" s="1">
        <v>61</v>
      </c>
      <c r="C7" s="1">
        <v>19.933330000000002</v>
      </c>
      <c r="D7" s="1">
        <v>56.8</v>
      </c>
      <c r="E7" s="1">
        <f>A7-C7</f>
        <v>2.0666699999999985</v>
      </c>
      <c r="F7" s="1">
        <f>B7-D7</f>
        <v>4.2000000000000028</v>
      </c>
      <c r="G7" s="1">
        <f t="shared" si="0"/>
        <v>8.6800139999999999</v>
      </c>
      <c r="H7" s="1">
        <f t="shared" si="1"/>
        <v>4.271124888899994</v>
      </c>
      <c r="I7" s="1">
        <v>1.893948</v>
      </c>
      <c r="J7" s="1">
        <f>D7-(I7*C7)</f>
        <v>19.047309513159995</v>
      </c>
      <c r="K7" s="1">
        <f>(I7*A7)+J7</f>
        <v>60.71416551315999</v>
      </c>
      <c r="L7" s="1">
        <v>56.80001</v>
      </c>
      <c r="M7" s="1">
        <f>ABS(B7-K7)</f>
        <v>0.28583448684000956</v>
      </c>
      <c r="N7" s="2">
        <v>3.741285</v>
      </c>
      <c r="O7" s="1">
        <f t="shared" si="2"/>
        <v>8.1701353867091597E-2</v>
      </c>
      <c r="P7" s="2">
        <v>22.29206945</v>
      </c>
    </row>
    <row r="8" spans="1:16" s="1" customFormat="1" x14ac:dyDescent="0.25">
      <c r="A8" s="1">
        <v>22</v>
      </c>
      <c r="B8" s="1">
        <v>60</v>
      </c>
      <c r="C8" s="1">
        <v>19.933330000000002</v>
      </c>
      <c r="D8" s="1">
        <v>56.8</v>
      </c>
      <c r="E8" s="1">
        <f>A8-C8</f>
        <v>2.0666699999999985</v>
      </c>
      <c r="F8" s="1">
        <f>B8-D8</f>
        <v>3.2000000000000028</v>
      </c>
      <c r="G8" s="1">
        <f t="shared" si="0"/>
        <v>6.6133440000000006</v>
      </c>
      <c r="H8" s="1">
        <f t="shared" si="1"/>
        <v>4.271124888899994</v>
      </c>
      <c r="I8" s="1">
        <v>1.893948</v>
      </c>
      <c r="J8" s="1">
        <f>D8-(I8*C8)</f>
        <v>19.047309513159995</v>
      </c>
      <c r="K8" s="1">
        <f>(I8*A8)+J8</f>
        <v>60.71416551315999</v>
      </c>
      <c r="L8" s="1">
        <v>56.80001</v>
      </c>
      <c r="M8" s="1">
        <f>ABS(B8-K8)</f>
        <v>0.71416551315999044</v>
      </c>
      <c r="N8" s="2">
        <v>3.741285</v>
      </c>
      <c r="O8" s="1">
        <f t="shared" si="2"/>
        <v>0.51003238018707253</v>
      </c>
      <c r="P8" s="2">
        <v>22.29206945</v>
      </c>
    </row>
    <row r="9" spans="1:16" s="1" customFormat="1" x14ac:dyDescent="0.25">
      <c r="A9" s="1">
        <v>19</v>
      </c>
      <c r="B9" s="1">
        <v>63</v>
      </c>
      <c r="C9" s="1">
        <v>19.933330000000002</v>
      </c>
      <c r="D9" s="1">
        <v>56.8</v>
      </c>
      <c r="E9" s="1">
        <f>A9-C9</f>
        <v>-0.93333000000000155</v>
      </c>
      <c r="F9" s="1">
        <f>B9-D9</f>
        <v>6.2000000000000028</v>
      </c>
      <c r="G9" s="1">
        <f t="shared" si="0"/>
        <v>-5.7866460000000126</v>
      </c>
      <c r="H9" s="1">
        <f t="shared" si="1"/>
        <v>0.87110488890000293</v>
      </c>
      <c r="I9" s="1">
        <v>1.893948</v>
      </c>
      <c r="J9" s="1">
        <f>D9-(I9*C9)</f>
        <v>19.047309513159995</v>
      </c>
      <c r="K9" s="1">
        <f>(I9*A9)+J9</f>
        <v>55.032321513159992</v>
      </c>
      <c r="L9" s="1">
        <v>56.80001</v>
      </c>
      <c r="M9" s="1">
        <f>ABS(B9-K9)</f>
        <v>7.9676784868400077</v>
      </c>
      <c r="N9" s="2">
        <v>3.741285</v>
      </c>
      <c r="O9" s="1">
        <f t="shared" si="2"/>
        <v>63.483900469653072</v>
      </c>
      <c r="P9" s="2">
        <v>22.29206945</v>
      </c>
    </row>
    <row r="10" spans="1:16" s="1" customFormat="1" x14ac:dyDescent="0.25">
      <c r="A10" s="1">
        <v>19</v>
      </c>
      <c r="B10" s="1">
        <v>60</v>
      </c>
      <c r="C10" s="1">
        <v>19.933330000000002</v>
      </c>
      <c r="D10" s="1">
        <v>56.8</v>
      </c>
      <c r="E10" s="1">
        <f>A10-C10</f>
        <v>-0.93333000000000155</v>
      </c>
      <c r="F10" s="1">
        <f>B10-D10</f>
        <v>3.2000000000000028</v>
      </c>
      <c r="G10" s="1">
        <f t="shared" si="0"/>
        <v>-2.9866560000000075</v>
      </c>
      <c r="H10" s="1">
        <f t="shared" si="1"/>
        <v>0.87110488890000293</v>
      </c>
      <c r="I10" s="1">
        <v>1.893948</v>
      </c>
      <c r="J10" s="1">
        <f>D10-(I10*C10)</f>
        <v>19.047309513159995</v>
      </c>
      <c r="K10" s="1">
        <f>(I10*A10)+J10</f>
        <v>55.032321513159992</v>
      </c>
      <c r="L10" s="1">
        <v>56.80001</v>
      </c>
      <c r="M10" s="1">
        <f>ABS(B10-K10)</f>
        <v>4.9676784868400077</v>
      </c>
      <c r="N10" s="2">
        <v>3.741285</v>
      </c>
      <c r="O10" s="1">
        <f t="shared" si="2"/>
        <v>24.67782954861303</v>
      </c>
      <c r="P10" s="2">
        <v>22.29206945</v>
      </c>
    </row>
    <row r="11" spans="1:16" s="1" customFormat="1" x14ac:dyDescent="0.25">
      <c r="A11" s="1">
        <v>16</v>
      </c>
      <c r="B11" s="1">
        <v>52</v>
      </c>
      <c r="C11" s="1">
        <v>19.933330000000002</v>
      </c>
      <c r="D11" s="1">
        <v>56.8</v>
      </c>
      <c r="E11" s="1">
        <f>A11-C11</f>
        <v>-3.9333300000000015</v>
      </c>
      <c r="F11" s="1">
        <f>B11-D11</f>
        <v>-4.7999999999999972</v>
      </c>
      <c r="G11" s="1">
        <f t="shared" si="0"/>
        <v>18.879983999999997</v>
      </c>
      <c r="H11" s="1">
        <f t="shared" si="1"/>
        <v>15.471084888900013</v>
      </c>
      <c r="I11" s="1">
        <v>1.893948</v>
      </c>
      <c r="J11" s="1">
        <f>D11-(I11*C11)</f>
        <v>19.047309513159995</v>
      </c>
      <c r="K11" s="1">
        <f>(I11*A11)+J11</f>
        <v>49.350477513159994</v>
      </c>
      <c r="L11" s="1">
        <v>56.80001</v>
      </c>
      <c r="M11" s="1">
        <f>ABS(B11-K11)</f>
        <v>2.6495224868400058</v>
      </c>
      <c r="N11" s="2">
        <v>3.741285</v>
      </c>
      <c r="O11" s="1">
        <f t="shared" si="2"/>
        <v>7.0199694082708488</v>
      </c>
      <c r="P11" s="2">
        <v>22.29206945</v>
      </c>
    </row>
    <row r="12" spans="1:16" s="1" customFormat="1" x14ac:dyDescent="0.25">
      <c r="A12" s="1">
        <v>24</v>
      </c>
      <c r="B12" s="1">
        <v>62</v>
      </c>
      <c r="C12" s="1">
        <v>19.933330000000002</v>
      </c>
      <c r="D12" s="1">
        <v>56.8</v>
      </c>
      <c r="E12" s="1">
        <f>A12-C12</f>
        <v>4.0666699999999985</v>
      </c>
      <c r="F12" s="1">
        <f>B12-D12</f>
        <v>5.2000000000000028</v>
      </c>
      <c r="G12" s="1">
        <f t="shared" si="0"/>
        <v>21.146684000000004</v>
      </c>
      <c r="H12" s="1">
        <f t="shared" si="1"/>
        <v>16.537804888899988</v>
      </c>
      <c r="I12" s="1">
        <v>1.893948</v>
      </c>
      <c r="J12" s="1">
        <f>D12-(I12*C12)</f>
        <v>19.047309513159995</v>
      </c>
      <c r="K12" s="1">
        <f>(I12*A12)+J12</f>
        <v>64.502061513159987</v>
      </c>
      <c r="L12" s="1">
        <v>56.80001</v>
      </c>
      <c r="M12" s="1">
        <f>ABS(B12-K12)</f>
        <v>2.5020615131599868</v>
      </c>
      <c r="N12" s="2">
        <v>3.741285</v>
      </c>
      <c r="O12" s="1">
        <f t="shared" si="2"/>
        <v>6.2603118156364426</v>
      </c>
      <c r="P12" s="2">
        <v>22.29206945</v>
      </c>
    </row>
    <row r="13" spans="1:16" s="1" customFormat="1" x14ac:dyDescent="0.25">
      <c r="A13" s="1">
        <v>11</v>
      </c>
      <c r="B13" s="1">
        <v>30</v>
      </c>
      <c r="C13" s="1">
        <v>19.933330000000002</v>
      </c>
      <c r="D13" s="1">
        <v>56.8</v>
      </c>
      <c r="E13" s="1">
        <f>A13-C13</f>
        <v>-8.9333300000000015</v>
      </c>
      <c r="F13" s="1">
        <f>B13-D13</f>
        <v>-26.799999999999997</v>
      </c>
      <c r="G13" s="1">
        <f t="shared" si="0"/>
        <v>239.41324400000002</v>
      </c>
      <c r="H13" s="1">
        <f t="shared" si="1"/>
        <v>79.804384888900032</v>
      </c>
      <c r="I13" s="1">
        <v>1.893948</v>
      </c>
      <c r="J13" s="1">
        <f>D13-(I13*C13)</f>
        <v>19.047309513159995</v>
      </c>
      <c r="K13" s="1">
        <f>(I13*A13)+J13</f>
        <v>39.880737513159993</v>
      </c>
      <c r="L13" s="1">
        <v>56.80001</v>
      </c>
      <c r="M13" s="1">
        <f>ABS(B13-K13)</f>
        <v>9.8807375131599926</v>
      </c>
      <c r="N13" s="2">
        <v>3.741285</v>
      </c>
      <c r="O13" s="1">
        <f t="shared" si="2"/>
        <v>97.628973803967114</v>
      </c>
      <c r="P13" s="2">
        <v>22.29206945</v>
      </c>
    </row>
    <row r="14" spans="1:16" s="1" customFormat="1" x14ac:dyDescent="0.25">
      <c r="A14" s="1">
        <v>24</v>
      </c>
      <c r="B14" s="1">
        <v>59</v>
      </c>
      <c r="C14" s="1">
        <v>19.933330000000002</v>
      </c>
      <c r="D14" s="1">
        <v>56.8</v>
      </c>
      <c r="E14" s="1">
        <f>A14-C14</f>
        <v>4.0666699999999985</v>
      </c>
      <c r="F14" s="1">
        <f>B14-D14</f>
        <v>2.2000000000000028</v>
      </c>
      <c r="G14" s="1">
        <f t="shared" si="0"/>
        <v>8.9466740000000087</v>
      </c>
      <c r="H14" s="1">
        <f t="shared" si="1"/>
        <v>16.537804888899988</v>
      </c>
      <c r="I14" s="1">
        <v>1.893948</v>
      </c>
      <c r="J14" s="1">
        <f>D14-(I14*C14)</f>
        <v>19.047309513159995</v>
      </c>
      <c r="K14" s="1">
        <f>(I14*A14)+J14</f>
        <v>64.502061513159987</v>
      </c>
      <c r="L14" s="1">
        <v>56.80001</v>
      </c>
      <c r="M14" s="1">
        <f>ABS(B14-K14)</f>
        <v>5.5020615131599868</v>
      </c>
      <c r="N14" s="2">
        <v>3.741285</v>
      </c>
      <c r="O14" s="1">
        <f t="shared" si="2"/>
        <v>30.272680894596363</v>
      </c>
      <c r="P14" s="2">
        <v>22.29206945</v>
      </c>
    </row>
    <row r="15" spans="1:16" s="1" customFormat="1" x14ac:dyDescent="0.25">
      <c r="A15" s="1">
        <v>16</v>
      </c>
      <c r="B15" s="1">
        <v>49</v>
      </c>
      <c r="C15" s="1">
        <v>19.933330000000002</v>
      </c>
      <c r="D15" s="1">
        <v>56.8</v>
      </c>
      <c r="E15" s="1">
        <f>A15-C15</f>
        <v>-3.9333300000000015</v>
      </c>
      <c r="F15" s="1">
        <f>B15-D15</f>
        <v>-7.7999999999999972</v>
      </c>
      <c r="G15" s="1">
        <f t="shared" si="0"/>
        <v>30.679974000000001</v>
      </c>
      <c r="H15" s="1">
        <f t="shared" si="1"/>
        <v>15.471084888900013</v>
      </c>
      <c r="I15" s="1">
        <v>1.893948</v>
      </c>
      <c r="J15" s="1">
        <f>D15-(I15*C15)</f>
        <v>19.047309513159995</v>
      </c>
      <c r="K15" s="1">
        <f>(I15*A15)+J15</f>
        <v>49.350477513159994</v>
      </c>
      <c r="L15" s="1">
        <v>56.80001</v>
      </c>
      <c r="M15" s="1">
        <f>ABS(B15-K15)</f>
        <v>0.3504775131599942</v>
      </c>
      <c r="N15" s="2">
        <v>3.741285</v>
      </c>
      <c r="O15" s="1">
        <f t="shared" si="2"/>
        <v>0.12283448723081392</v>
      </c>
      <c r="P15" s="2">
        <v>22.29206945</v>
      </c>
    </row>
    <row r="16" spans="1:16" s="1" customFormat="1" x14ac:dyDescent="0.25">
      <c r="A16" s="1">
        <v>23</v>
      </c>
      <c r="B16" s="1">
        <v>68</v>
      </c>
      <c r="C16" s="1">
        <v>19.933330000000002</v>
      </c>
      <c r="D16" s="1">
        <v>56.8</v>
      </c>
      <c r="E16" s="1">
        <f>A16-C16</f>
        <v>3.0666699999999985</v>
      </c>
      <c r="F16" s="1">
        <f>B16-D16</f>
        <v>11.200000000000003</v>
      </c>
      <c r="G16" s="1">
        <f t="shared" si="0"/>
        <v>34.346703999999988</v>
      </c>
      <c r="H16" s="1">
        <f t="shared" si="1"/>
        <v>9.4044648888999909</v>
      </c>
      <c r="I16" s="1">
        <v>1.893948</v>
      </c>
      <c r="J16" s="1">
        <f>D16-(I16*C16)</f>
        <v>19.047309513159995</v>
      </c>
      <c r="K16" s="1">
        <f>(I16*A16)+J16</f>
        <v>62.608113513159992</v>
      </c>
      <c r="L16" s="1">
        <v>56.80001</v>
      </c>
      <c r="M16" s="1">
        <f>ABS(B16-K16)</f>
        <v>5.3918864868400078</v>
      </c>
      <c r="N16" s="2">
        <v>3.741285</v>
      </c>
      <c r="O16" s="1">
        <f t="shared" si="2"/>
        <v>29.072439886967882</v>
      </c>
      <c r="P16" s="2">
        <v>22.29206945</v>
      </c>
    </row>
    <row r="18" spans="1:16" s="1" customFormat="1" x14ac:dyDescent="0.25">
      <c r="A18" s="1" t="s">
        <v>9</v>
      </c>
      <c r="G18" s="1">
        <f>SUM(G2:G17)</f>
        <v>429.800026</v>
      </c>
      <c r="H18" s="1">
        <f>SUM(H2:H17)</f>
        <v>226.93336622237774</v>
      </c>
      <c r="N18" s="2"/>
      <c r="P18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LJENG</dc:creator>
  <cp:lastModifiedBy>LJENG</cp:lastModifiedBy>
  <dcterms:created xsi:type="dcterms:W3CDTF">2026-04-10T02:28:44Z</dcterms:created>
  <dcterms:modified xsi:type="dcterms:W3CDTF">2026-04-10T04:16:46Z</dcterms:modified>
</cp:coreProperties>
</file>